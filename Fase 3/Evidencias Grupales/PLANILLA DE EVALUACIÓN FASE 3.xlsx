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2D\"/>
    </mc:Choice>
  </mc:AlternateContent>
  <xr:revisionPtr revIDLastSave="0" documentId="13_ncr:1_{3D6EA7F7-DEBE-43D4-849D-6FEB5D9DC8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1" l="1"/>
  <c r="B83" i="1"/>
  <c r="B82" i="1"/>
  <c r="B81" i="1"/>
  <c r="B80" i="1"/>
  <c r="B79" i="1"/>
  <c r="B78" i="1"/>
  <c r="B37" i="1"/>
  <c r="B76" i="1" l="1"/>
  <c r="B63" i="1"/>
  <c r="B50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<sst xmlns="http://schemas.openxmlformats.org/spreadsheetml/2006/main" count="164" uniqueCount="66">
  <si>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</si>
  <si>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</si>
  <si>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</si>
  <si>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</si>
  <si>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</si>
  <si>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</si>
  <si>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</si>
  <si>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</si>
  <si>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</si>
  <si>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</si>
  <si>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</si>
  <si>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</si>
  <si>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</si>
  <si>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</si>
  <si>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</si>
  <si>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</si>
  <si>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</si>
  <si>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</si>
  <si>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</si>
  <si>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</si>
  <si>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</si>
  <si>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</si>
  <si>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</si>
  <si>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</si>
  <si>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</si>
  <si>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</si>
  <si>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</si>
  <si>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</si>
  <si>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</si>
  <si>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</si>
  <si>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</si>
  <si>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</si>
  <si>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</si>
  <si>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</si>
  <si>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</si>
  <si>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</si>
  <si>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</si>
  <si>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</si>
  <si>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</si>
  <si>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</si>
  <si>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</si>
  <si>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</si>
  <si>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</si>
  <si>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</si>
  <si>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</si>
  <si>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</si>
  <si>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</si>
  <si>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</si>
  <si>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</si>
  <si>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</si>
  <si>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</si>
  <si>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</si>
  <si>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</si>
  <si>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</si>
  <si>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</si>
  <si>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</si>
  <si>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</si>
  <si>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</si>
  <si>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</si>
  <si>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</si>
  <si>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</si>
  <si>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</si>
  <si>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</si>
  <si>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TIHARE BETZABE CAMPUSANO OLIVARES</t>
  </si>
  <si>
    <t>YEREMI GUERRERO AYALA</t>
  </si>
  <si>
    <t>OCTAVIO EDUARDO YANEZ 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</si>
</sst>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6"/>
  <sheetViews>
    <sheetView tabSelected="1" zoomScale="85" zoomScaleNormal="85" workbookViewId="0">
      <selection activeCell="I93" sqref="I93"/>
    </sheetView>
  </sheetViews>
  <sheetFormatPr baseColWidth="10" defaultColWidth="14.44140625" defaultRowHeight="14.4" outlineLevelRow="1" x14ac:dyDescent="0.3"/>
  <cols>
    <col min="1" max="1" width="10.6640625" customWidth="1"/>
    <col min="2" max="2" width="71.1093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3">
      <c r="C2" s="29">
        <v>0.7</v>
      </c>
      <c r="D2" s="32">
        <v>0.3</v>
      </c>
      <c r="E2" s="33">
        <v>1</v>
      </c>
    </row>
    <row r="3" spans="1:11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3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3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3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7" spans="1:11" x14ac:dyDescent="0.3">
      <c r="A7" s="3"/>
      <c r="B7" s="16"/>
      <c r="C7" s="31"/>
      <c r="D7" s="37"/>
      <c r="E7" s="36"/>
    </row>
    <row r="11" spans="1:11" ht="18" outlineLevel="1" x14ac:dyDescent="0.3">
      <c r="A11" s="51" t="s">
        <v>4</v>
      </c>
      <c r="B11" s="11" t="str">
        <f>B4</f>
        <v>TIHARE BETZABE CAMPUSANO OLIVARES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4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8" outlineLevel="1" x14ac:dyDescent="0.35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8" outlineLevel="1" x14ac:dyDescent="0.35">
      <c r="A21" s="42"/>
      <c r="B21" s="21" t="s">
        <v>13</v>
      </c>
      <c r="C21" s="14">
        <f>VLOOKUP(C20,ESCALA_IEP!A2:B202,2,FALSE)</f>
        <v>7</v>
      </c>
    </row>
    <row r="24" spans="1:11" ht="18" x14ac:dyDescent="0.3">
      <c r="A24" s="51" t="s">
        <v>4</v>
      </c>
      <c r="B24" s="11" t="str">
        <f>B5</f>
        <v>YEREMI GUERRERO AYALA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18" x14ac:dyDescent="0.35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18" x14ac:dyDescent="0.35">
      <c r="A34" s="42"/>
      <c r="B34" s="21" t="s">
        <v>13</v>
      </c>
      <c r="C34" s="14">
        <f>VLOOKUP(C33,ESCALA_IEP!A15:B215,2,FALSE)</f>
        <v>7</v>
      </c>
    </row>
    <row r="37" spans="1:11" ht="18" x14ac:dyDescent="0.3">
      <c r="A37" s="51" t="s">
        <v>4</v>
      </c>
      <c r="B37" s="11" t="str">
        <f>B6</f>
        <v>OCTAVIO EDUARDO YANEZ SALINAS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18" x14ac:dyDescent="0.35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18" x14ac:dyDescent="0.35">
      <c r="A47" s="42"/>
      <c r="B47" s="21" t="s">
        <v>13</v>
      </c>
      <c r="C47" s="14">
        <f>VLOOKUP(C46,ESCALA_IEP!A28:B228,2,FALSE)</f>
        <v>7</v>
      </c>
    </row>
    <row r="49" spans="1:11" ht="6" customHeight="1" x14ac:dyDescent="0.3"/>
    <row r="50" spans="1:11" ht="18" x14ac:dyDescent="0.3">
      <c r="A50" s="48" t="s">
        <v>14</v>
      </c>
      <c r="B50" s="11" t="str">
        <f>B4</f>
        <v>TIHARE BETZABE CAMPUSANO OLIVARES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x14ac:dyDescent="0.3">
      <c r="A51" s="49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x14ac:dyDescent="0.3">
      <c r="A52" s="49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8" si="17">IF($C52=CL,"X","")</f>
        <v>X</v>
      </c>
      <c r="E52" s="12">
        <f>IF(D52="X",100*0.15,"")</f>
        <v>15</v>
      </c>
      <c r="F52" s="12" t="str">
        <f t="shared" ref="F52:F58" si="18">IF($C52=L,"X","")</f>
        <v/>
      </c>
      <c r="G52" s="12" t="str">
        <f>IF(F52="X",60*0.15,"")</f>
        <v/>
      </c>
      <c r="H52" s="12" t="str">
        <f t="shared" ref="H52:H58" si="19">IF($C52=ML,"X","")</f>
        <v/>
      </c>
      <c r="I52" s="12" t="str">
        <f>IF(H52="X",30*0.15,"")</f>
        <v/>
      </c>
      <c r="J52" s="12" t="str">
        <f t="shared" ref="J52:J58" si="20">IF($C52=NL,"X","")</f>
        <v/>
      </c>
      <c r="K52" s="12" t="str">
        <f t="shared" ref="K52:K58" si="21">IF($J52="X",0,"")</f>
        <v/>
      </c>
    </row>
    <row r="53" spans="1:11" ht="24" x14ac:dyDescent="0.3">
      <c r="A53" s="49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x14ac:dyDescent="0.3">
      <c r="A54" s="49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x14ac:dyDescent="0.3">
      <c r="A55" s="49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x14ac:dyDescent="0.3">
      <c r="A56" s="49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x14ac:dyDescent="0.3">
      <c r="A57" s="49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 t="shared" si="17"/>
        <v>X</v>
      </c>
      <c r="E57" s="12">
        <f>IF(D57="X",100*0.2,"")</f>
        <v>20</v>
      </c>
      <c r="F57" s="12" t="str">
        <f t="shared" si="18"/>
        <v/>
      </c>
      <c r="G57" s="12" t="str">
        <f>IF(F57="X",60*0.2,"")</f>
        <v/>
      </c>
      <c r="H57" s="12" t="str">
        <f t="shared" si="19"/>
        <v/>
      </c>
      <c r="I57" s="12" t="str">
        <f>IF(H57="X",30*0.2,"")</f>
        <v/>
      </c>
      <c r="J57" s="12" t="str">
        <f t="shared" si="20"/>
        <v/>
      </c>
      <c r="K57" s="12" t="str">
        <f t="shared" si="21"/>
        <v/>
      </c>
    </row>
    <row r="58" spans="1:11" ht="24" x14ac:dyDescent="0.3">
      <c r="A58" s="49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 t="shared" si="17"/>
        <v>X</v>
      </c>
      <c r="E58" s="12">
        <f>IF(D58="X",100*0.1,"")</f>
        <v>10</v>
      </c>
      <c r="F58" s="12" t="str">
        <f t="shared" si="18"/>
        <v/>
      </c>
      <c r="G58" s="12" t="str">
        <f>IF(F58="X",60*0.1,"")</f>
        <v/>
      </c>
      <c r="H58" s="12" t="str">
        <f t="shared" si="19"/>
        <v/>
      </c>
      <c r="I58" s="12" t="str">
        <f>IF(H58="X",30*0.1,"")</f>
        <v/>
      </c>
      <c r="J58" s="12" t="str">
        <f t="shared" si="20"/>
        <v/>
      </c>
      <c r="K58" s="12" t="str">
        <f t="shared" si="21"/>
        <v/>
      </c>
    </row>
    <row r="59" spans="1:11" ht="37.200000000000003" customHeight="1" x14ac:dyDescent="0.35">
      <c r="A59" s="49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40.799999999999997" customHeight="1" x14ac:dyDescent="0.35">
      <c r="A60" s="50"/>
      <c r="B60" s="21" t="s">
        <v>13</v>
      </c>
      <c r="C60" s="14">
        <f>VLOOKUP(C59,ESCALA_IEP!A41:B241,2,FALSE)</f>
        <v>7</v>
      </c>
    </row>
    <row r="63" spans="1:11" ht="18" x14ac:dyDescent="0.3">
      <c r="A63" s="39" t="s">
        <v>15</v>
      </c>
      <c r="B63" s="11" t="str">
        <f>B5</f>
        <v>YEREMI GUERRERO AYALA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x14ac:dyDescent="0.3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x14ac:dyDescent="0.3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x14ac:dyDescent="0.3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x14ac:dyDescent="0.3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x14ac:dyDescent="0.3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x14ac:dyDescent="0.3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x14ac:dyDescent="0.3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x14ac:dyDescent="0.3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42.6" customHeight="1" x14ac:dyDescent="0.35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39.6" customHeight="1" x14ac:dyDescent="0.35">
      <c r="A73" s="42"/>
      <c r="B73" s="21" t="s">
        <v>13</v>
      </c>
      <c r="C73" s="14">
        <f>VLOOKUP(C72,ESCALA_IEP!A54:B254,2,FALSE)</f>
        <v>7</v>
      </c>
    </row>
    <row r="76" spans="1:11" ht="18" x14ac:dyDescent="0.3">
      <c r="A76" s="39" t="s">
        <v>16</v>
      </c>
      <c r="B76" s="11" t="str">
        <f>B6</f>
        <v>OCTAVIO EDUARDO YANEZ SALINAS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40.200000000000003" customHeight="1" x14ac:dyDescent="0.35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34.799999999999997" customHeight="1" x14ac:dyDescent="0.35">
      <c r="A86" s="42"/>
      <c r="B86" s="21" t="s">
        <v>13</v>
      </c>
      <c r="C86" s="14">
        <f>VLOOKUP(C85,ESCALA_IEP!A67:B267,2,FALSE)</f>
        <v>7</v>
      </c>
    </row>
  </sheetData>
  <sheetProtection algorithmName="SHA-512" hashValue="cdt/LP/58L7tAHiCdtwT7lsDY8Cvt6ZVU+geYUyS7qfzQBNjLLnIh+itmT9GK1D2b7r6DzWJDqVQMsYufzI4AQ==" saltValue="mtb5qP9e9ap83+85u+YHXQ==" spinCount="100000" sheet="1" objects="1" scenarios="1"/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2025-12-11T03:03:48Z</dcterms:modified>
  <cp:category/>
  <cp:contentStatus/>
</cp:coreProperties>
</file>